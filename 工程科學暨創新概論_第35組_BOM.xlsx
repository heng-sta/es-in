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ian\Desktop\es-in\"/>
    </mc:Choice>
  </mc:AlternateContent>
  <xr:revisionPtr revIDLastSave="0" documentId="13_ncr:1_{8615E7FA-CC20-4B12-852B-32C9F1AD693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M" sheetId="1" r:id="rId1"/>
    <sheet name="工作表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22" i="1" l="1"/>
</calcChain>
</file>

<file path=xl/sharedStrings.xml><?xml version="1.0" encoding="utf-8"?>
<sst xmlns="http://schemas.openxmlformats.org/spreadsheetml/2006/main" count="99" uniqueCount="61">
  <si>
    <r>
      <rPr>
        <b/>
        <sz val="16"/>
        <color rgb="FFFFFFFF"/>
        <rFont val="Arial"/>
        <family val="2"/>
      </rPr>
      <t xml:space="preserve">E912100 </t>
    </r>
    <r>
      <rPr>
        <b/>
        <sz val="16"/>
        <color rgb="FFFFFFFF"/>
        <rFont val="DejaVu Sans"/>
        <family val="2"/>
      </rPr>
      <t>工程科學暨創新概論　期末競賽　物料清單（</t>
    </r>
    <r>
      <rPr>
        <b/>
        <sz val="16"/>
        <color rgb="FFFFFFFF"/>
        <rFont val="Arial"/>
        <family val="2"/>
      </rPr>
      <t>BOM</t>
    </r>
    <r>
      <rPr>
        <b/>
        <sz val="16"/>
        <color rgb="FFFFFFFF"/>
        <rFont val="DejaVu Sans"/>
        <family val="2"/>
      </rPr>
      <t>）</t>
    </r>
  </si>
  <si>
    <t>Bill of Materials — Spring 2026</t>
  </si>
  <si>
    <t>隊伍編號</t>
  </si>
  <si>
    <t>日期</t>
  </si>
  <si>
    <t>項次</t>
  </si>
  <si>
    <t>零件名稱</t>
  </si>
  <si>
    <r>
      <rPr>
        <b/>
        <sz val="9.5"/>
        <color rgb="FFFFFFFF"/>
        <rFont val="DejaVu Sans"/>
        <family val="2"/>
      </rPr>
      <t xml:space="preserve">規格 </t>
    </r>
    <r>
      <rPr>
        <b/>
        <sz val="9.5"/>
        <color rgb="FFFFFFFF"/>
        <rFont val="Arial"/>
        <family val="2"/>
      </rPr>
      <t xml:space="preserve">/ </t>
    </r>
    <r>
      <rPr>
        <b/>
        <sz val="9.5"/>
        <color rgb="FFFFFFFF"/>
        <rFont val="DejaVu Sans"/>
        <family val="2"/>
      </rPr>
      <t>型號</t>
    </r>
  </si>
  <si>
    <t>數量</t>
  </si>
  <si>
    <r>
      <rPr>
        <b/>
        <sz val="9.5"/>
        <color rgb="FFFFFFFF"/>
        <rFont val="DejaVu Sans"/>
        <family val="2"/>
      </rPr>
      <t xml:space="preserve">單價
</t>
    </r>
    <r>
      <rPr>
        <b/>
        <sz val="9.5"/>
        <color rgb="FFFFFFFF"/>
        <rFont val="Arial"/>
        <family val="2"/>
      </rPr>
      <t>(NT$)</t>
    </r>
  </si>
  <si>
    <r>
      <rPr>
        <b/>
        <sz val="9.5"/>
        <color rgb="FFFFFFFF"/>
        <rFont val="DejaVu Sans"/>
        <family val="2"/>
      </rPr>
      <t xml:space="preserve">小計
</t>
    </r>
    <r>
      <rPr>
        <b/>
        <sz val="9.5"/>
        <color rgb="FFFFFFFF"/>
        <rFont val="Arial"/>
        <family val="2"/>
      </rPr>
      <t>(NT$)</t>
    </r>
  </si>
  <si>
    <t>來源</t>
  </si>
  <si>
    <r>
      <rPr>
        <b/>
        <sz val="9.5"/>
        <color rgb="FFFFFFFF"/>
        <rFont val="DejaVu Sans"/>
        <family val="2"/>
      </rPr>
      <t xml:space="preserve">採購連結 </t>
    </r>
    <r>
      <rPr>
        <b/>
        <sz val="9.5"/>
        <color rgb="FFFFFFFF"/>
        <rFont val="Arial"/>
        <family val="2"/>
      </rPr>
      <t xml:space="preserve">/ </t>
    </r>
    <r>
      <rPr>
        <b/>
        <sz val="9.5"/>
        <color rgb="FFFFFFFF"/>
        <rFont val="DejaVu Sans"/>
        <family val="2"/>
      </rPr>
      <t>來源說明</t>
    </r>
  </si>
  <si>
    <t>備註</t>
  </si>
  <si>
    <t>—</t>
  </si>
  <si>
    <t>0</t>
  </si>
  <si>
    <t>助教提供</t>
  </si>
  <si>
    <t>動力系統</t>
  </si>
  <si>
    <t>電氣系統</t>
  </si>
  <si>
    <t>結構件</t>
  </si>
  <si>
    <r>
      <rPr>
        <b/>
        <sz val="9.5"/>
        <color rgb="FF1F3864"/>
        <rFont val="DejaVu Sans"/>
        <family val="2"/>
      </rPr>
      <t xml:space="preserve">自購零件總成本 </t>
    </r>
    <r>
      <rPr>
        <b/>
        <sz val="9.5"/>
        <color rgb="FF1F3864"/>
        <rFont val="Arial"/>
        <family val="2"/>
      </rPr>
      <t>(NT$)</t>
    </r>
  </si>
  <si>
    <r>
      <rPr>
        <sz val="9"/>
        <color rgb="FF595959"/>
        <rFont val="DejaVu Sans"/>
        <family val="2"/>
      </rPr>
      <t xml:space="preserve">助教提供件成本計 </t>
    </r>
    <r>
      <rPr>
        <sz val="9"/>
        <color rgb="FF595959"/>
        <rFont val="Arial"/>
        <family val="2"/>
      </rPr>
      <t>0</t>
    </r>
    <r>
      <rPr>
        <sz val="9"/>
        <color rgb="FF595959"/>
        <rFont val="DejaVu Sans"/>
        <family val="2"/>
      </rPr>
      <t>，不列入總計</t>
    </r>
  </si>
  <si>
    <r>
      <rPr>
        <b/>
        <sz val="9.5"/>
        <color rgb="FF1F3864"/>
        <rFont val="DejaVu Sans"/>
        <family val="2"/>
      </rPr>
      <t xml:space="preserve">成本上限 </t>
    </r>
    <r>
      <rPr>
        <b/>
        <sz val="9.5"/>
        <color rgb="FF1F3864"/>
        <rFont val="Arial"/>
        <family val="2"/>
      </rPr>
      <t>(NT$)</t>
    </r>
  </si>
  <si>
    <r>
      <rPr>
        <b/>
        <sz val="9.5"/>
        <color rgb="FF1F3864"/>
        <rFont val="DejaVu Sans"/>
        <family val="2"/>
      </rPr>
      <t xml:space="preserve">超出金額 </t>
    </r>
    <r>
      <rPr>
        <b/>
        <sz val="9.5"/>
        <color rgb="FF1F3864"/>
        <rFont val="Arial"/>
        <family val="2"/>
      </rPr>
      <t>(NT$)</t>
    </r>
  </si>
  <si>
    <t>分類</t>
    <phoneticPr fontId="14" type="noConversion"/>
  </si>
  <si>
    <t>感測器</t>
    <phoneticPr fontId="14" type="noConversion"/>
  </si>
  <si>
    <t>微控制器</t>
    <phoneticPr fontId="14" type="noConversion"/>
  </si>
  <si>
    <r>
      <rPr>
        <b/>
        <sz val="9"/>
        <color rgb="FFFFFFFF"/>
        <rFont val="微軟正黑體"/>
        <family val="2"/>
        <charset val="136"/>
      </rPr>
      <t>隊員一</t>
    </r>
    <r>
      <rPr>
        <b/>
        <sz val="9"/>
        <color rgb="FFFFFFFF"/>
        <rFont val="DejaVu Sans"/>
        <family val="2"/>
      </rPr>
      <t xml:space="preserve"> (</t>
    </r>
    <r>
      <rPr>
        <b/>
        <sz val="9"/>
        <color rgb="FFFFFFFF"/>
        <rFont val="微軟正黑體"/>
        <family val="2"/>
        <charset val="136"/>
      </rPr>
      <t>學號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微軟正黑體"/>
        <family val="2"/>
        <charset val="136"/>
      </rPr>
      <t>姓名</t>
    </r>
    <r>
      <rPr>
        <b/>
        <sz val="9"/>
        <color rgb="FFFFFFFF"/>
        <rFont val="Arial"/>
        <family val="2"/>
      </rPr>
      <t>)</t>
    </r>
    <phoneticPr fontId="14" type="noConversion"/>
  </si>
  <si>
    <r>
      <rPr>
        <b/>
        <sz val="9"/>
        <color rgb="FFFFFFFF"/>
        <rFont val="微軟正黑體"/>
        <family val="2"/>
        <charset val="136"/>
      </rPr>
      <t>隊員二</t>
    </r>
    <r>
      <rPr>
        <b/>
        <sz val="9"/>
        <color rgb="FFFFFFFF"/>
        <rFont val="DejaVu Sans"/>
        <family val="2"/>
      </rPr>
      <t xml:space="preserve"> (學號 姓名)</t>
    </r>
    <phoneticPr fontId="14" type="noConversion"/>
  </si>
  <si>
    <t>NodeMCU-32S</t>
    <phoneticPr fontId="14" type="noConversion"/>
  </si>
  <si>
    <t>麵包板（小）</t>
    <phoneticPr fontId="14" type="noConversion"/>
  </si>
  <si>
    <t>TT馬達</t>
    <phoneticPr fontId="14" type="noConversion"/>
  </si>
  <si>
    <t>全彩LED</t>
    <phoneticPr fontId="14" type="noConversion"/>
  </si>
  <si>
    <t>L298N 馬達驅動模組</t>
    <phoneticPr fontId="14" type="noConversion"/>
  </si>
  <si>
    <t>電阻</t>
    <phoneticPr fontId="14" type="noConversion"/>
  </si>
  <si>
    <t>杜邦線</t>
    <phoneticPr fontId="14" type="noConversion"/>
  </si>
  <si>
    <t>輪胎</t>
    <phoneticPr fontId="14" type="noConversion"/>
  </si>
  <si>
    <t>循跡感測器</t>
    <phoneticPr fontId="14" type="noConversion"/>
  </si>
  <si>
    <t>熱熔膠條</t>
    <phoneticPr fontId="14" type="noConversion"/>
  </si>
  <si>
    <t>電池</t>
    <phoneticPr fontId="14" type="noConversion"/>
  </si>
  <si>
    <t>珍珠板</t>
    <phoneticPr fontId="14" type="noConversion"/>
  </si>
  <si>
    <t>ASL</t>
    <phoneticPr fontId="14" type="noConversion"/>
  </si>
  <si>
    <t>雙 H 橋驅動</t>
    <phoneticPr fontId="14" type="noConversion"/>
  </si>
  <si>
    <t>ESP32</t>
    <phoneticPr fontId="14" type="noConversion"/>
  </si>
  <si>
    <t>電池盒</t>
    <phoneticPr fontId="14" type="noConversion"/>
  </si>
  <si>
    <t>船型開關</t>
    <phoneticPr fontId="14" type="noConversion"/>
  </si>
  <si>
    <t>TSMS</t>
    <phoneticPr fontId="14" type="noConversion"/>
  </si>
  <si>
    <t>5路循跡感測器</t>
    <phoneticPr fontId="14" type="noConversion"/>
  </si>
  <si>
    <t>膠帶</t>
    <phoneticPr fontId="14" type="noConversion"/>
  </si>
  <si>
    <t>3M</t>
    <phoneticPr fontId="14" type="noConversion"/>
  </si>
  <si>
    <t>—</t>
    <phoneticPr fontId="14" type="noConversion"/>
  </si>
  <si>
    <t>400 孔</t>
    <phoneticPr fontId="14" type="noConversion"/>
  </si>
  <si>
    <t>TT 馬達（黃色 DC 3-6V）</t>
    <phoneticPr fontId="14" type="noConversion"/>
  </si>
  <si>
    <t>220Ω（配合 LED 使用）</t>
    <phoneticPr fontId="14" type="noConversion"/>
  </si>
  <si>
    <t>公對公公對母母對母各10條</t>
    <phoneticPr fontId="14" type="noConversion"/>
  </si>
  <si>
    <t>18650 2x串聯</t>
    <phoneticPr fontId="14" type="noConversion"/>
  </si>
  <si>
    <t>7mm 細膠條</t>
    <phoneticPr fontId="14" type="noConversion"/>
  </si>
  <si>
    <t>E94136130 李昂衡</t>
    <phoneticPr fontId="14" type="noConversion"/>
  </si>
  <si>
    <t>自購</t>
    <phoneticPr fontId="14" type="noConversion"/>
  </si>
  <si>
    <t>E94146313 李予田</t>
    <phoneticPr fontId="14" type="noConversion"/>
  </si>
  <si>
    <t>自備一顆計一元</t>
    <phoneticPr fontId="14" type="noConversion"/>
  </si>
  <si>
    <r>
      <t>2(</t>
    </r>
    <r>
      <rPr>
        <sz val="9"/>
        <color rgb="FF000000"/>
        <rFont val="細明體"/>
        <family val="2"/>
        <charset val="136"/>
      </rPr>
      <t>助教提供</t>
    </r>
    <r>
      <rPr>
        <sz val="9"/>
        <color rgb="FF000000"/>
        <rFont val="Arial"/>
        <family val="2"/>
      </rPr>
      <t>)+1</t>
    </r>
    <r>
      <rPr>
        <sz val="9"/>
        <color rgb="FF000000"/>
        <rFont val="細明體"/>
        <family val="2"/>
        <charset val="136"/>
      </rPr>
      <t>自購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</si>
</sst>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6"/>
      <color rgb="FFFFFFFF"/>
      <name val="DejaVu Sans"/>
      <family val="2"/>
    </font>
    <font>
      <sz val="11"/>
      <color rgb="FFFFFFFF"/>
      <name val="Arial"/>
      <family val="2"/>
    </font>
    <font>
      <b/>
      <sz val="9"/>
      <color rgb="FFFFFFFF"/>
      <name val="DejaVu Sans"/>
      <family val="2"/>
    </font>
    <font>
      <sz val="9"/>
      <color rgb="FF000000"/>
      <name val="Arial"/>
      <family val="2"/>
    </font>
    <font>
      <sz val="9"/>
      <color rgb="FF000000"/>
      <name val="DejaVu Sans"/>
      <family val="2"/>
    </font>
    <font>
      <b/>
      <sz val="9.5"/>
      <color rgb="FFFFFFFF"/>
      <name val="DejaVu Sans"/>
      <family val="2"/>
    </font>
    <font>
      <b/>
      <sz val="9.5"/>
      <color rgb="FFFFFFFF"/>
      <name val="Arial"/>
      <family val="2"/>
    </font>
    <font>
      <b/>
      <sz val="9.5"/>
      <color rgb="FF1F3864"/>
      <name val="DejaVu Sans"/>
      <family val="2"/>
    </font>
    <font>
      <b/>
      <sz val="9.5"/>
      <color rgb="FF1F3864"/>
      <name val="Arial"/>
      <family val="2"/>
    </font>
    <font>
      <b/>
      <sz val="10"/>
      <color rgb="FF1F3864"/>
      <name val="Arial"/>
      <family val="2"/>
    </font>
    <font>
      <sz val="9"/>
      <color rgb="FF595959"/>
      <name val="DejaVu Sans"/>
      <family val="2"/>
    </font>
    <font>
      <sz val="9"/>
      <color rgb="FF595959"/>
      <name val="Arial"/>
      <family val="2"/>
    </font>
    <font>
      <sz val="9"/>
      <name val="細明體"/>
      <family val="3"/>
      <charset val="136"/>
    </font>
    <font>
      <sz val="9"/>
      <color rgb="FF000000"/>
      <name val="微軟正黑體"/>
      <family val="2"/>
      <charset val="136"/>
    </font>
    <font>
      <b/>
      <sz val="9.5"/>
      <color rgb="FFFFFFFF"/>
      <name val="微軟正黑體"/>
      <family val="2"/>
      <charset val="136"/>
    </font>
    <font>
      <b/>
      <sz val="9"/>
      <color rgb="FFFFFFFF"/>
      <name val="微軟正黑體"/>
      <family val="2"/>
      <charset val="136"/>
    </font>
    <font>
      <b/>
      <sz val="9"/>
      <color rgb="FFFFFFFF"/>
      <name val="DejaVu Sans"/>
      <family val="2"/>
      <charset val="136"/>
    </font>
    <font>
      <b/>
      <sz val="9"/>
      <color rgb="FFFFFFFF"/>
      <name val="Arial"/>
      <family val="2"/>
    </font>
    <font>
      <b/>
      <sz val="14"/>
      <color rgb="FFFF0000"/>
      <name val="Microsoft JhengHei"/>
      <family val="2"/>
    </font>
    <font>
      <sz val="11"/>
      <color theme="1"/>
      <name val="新細明體"/>
      <family val="2"/>
      <scheme val="minor"/>
    </font>
    <font>
      <sz val="9"/>
      <color rgb="FF000000"/>
      <name val="Devu"/>
    </font>
    <font>
      <sz val="9"/>
      <color rgb="FF000000"/>
      <name val="Devu"/>
      <family val="2"/>
    </font>
    <font>
      <sz val="12"/>
      <color rgb="FF000000"/>
      <name val="微軟正黑體"/>
      <family val="2"/>
      <charset val="136"/>
    </font>
    <font>
      <sz val="9"/>
      <color rgb="FF000000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1" fillId="0" borderId="0"/>
  </cellStyleXfs>
  <cellXfs count="27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BA8289A4-10E0-45A2-88F8-6CB6E54156B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Normal="100" workbookViewId="0">
      <pane ySplit="4" topLeftCell="A11" activePane="bottomLeft" state="frozen"/>
      <selection pane="bottomLeft" activeCell="F11" sqref="F11"/>
    </sheetView>
  </sheetViews>
  <sheetFormatPr defaultColWidth="8.6640625" defaultRowHeight="14.4"/>
  <cols>
    <col min="1" max="1" width="12" customWidth="1"/>
    <col min="2" max="2" width="15.44140625" customWidth="1"/>
    <col min="3" max="3" width="25" customWidth="1"/>
    <col min="4" max="4" width="33" customWidth="1"/>
    <col min="5" max="5" width="22.6640625" customWidth="1"/>
    <col min="6" max="6" width="26.44140625" customWidth="1"/>
    <col min="7" max="7" width="16.109375" customWidth="1"/>
    <col min="8" max="8" width="12.5546875" customWidth="1"/>
    <col min="9" max="9" width="34.109375" customWidth="1"/>
    <col min="10" max="10" width="28" customWidth="1"/>
  </cols>
  <sheetData>
    <row r="1" spans="1:10" ht="27.7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9.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8" customHeight="1">
      <c r="A3" s="1" t="s">
        <v>2</v>
      </c>
      <c r="B3" s="2">
        <v>35</v>
      </c>
      <c r="C3" s="12" t="s">
        <v>26</v>
      </c>
      <c r="D3" s="13" t="s">
        <v>56</v>
      </c>
      <c r="E3" s="12" t="s">
        <v>27</v>
      </c>
      <c r="F3" s="13" t="s">
        <v>58</v>
      </c>
      <c r="H3" s="1" t="s">
        <v>3</v>
      </c>
      <c r="I3" s="18">
        <v>46188</v>
      </c>
    </row>
    <row r="4" spans="1:10" ht="30" customHeight="1">
      <c r="A4" s="3" t="s">
        <v>4</v>
      </c>
      <c r="B4" s="11" t="s">
        <v>23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ht="27.75" customHeight="1">
      <c r="A5" s="14">
        <v>1</v>
      </c>
      <c r="B5" s="16" t="s">
        <v>25</v>
      </c>
      <c r="C5" s="16" t="s">
        <v>42</v>
      </c>
      <c r="D5" s="16" t="s">
        <v>28</v>
      </c>
      <c r="E5" s="4">
        <v>1</v>
      </c>
      <c r="F5" s="4" t="s">
        <v>49</v>
      </c>
      <c r="G5" s="4" t="s">
        <v>14</v>
      </c>
      <c r="H5" s="7" t="s">
        <v>15</v>
      </c>
      <c r="I5" s="6" t="s">
        <v>13</v>
      </c>
      <c r="J5" s="5"/>
    </row>
    <row r="6" spans="1:10" ht="27.75" customHeight="1">
      <c r="A6" s="15">
        <v>2</v>
      </c>
      <c r="B6" s="17" t="s">
        <v>24</v>
      </c>
      <c r="C6" s="17" t="s">
        <v>36</v>
      </c>
      <c r="D6" s="17" t="s">
        <v>46</v>
      </c>
      <c r="E6" s="8">
        <v>1</v>
      </c>
      <c r="F6" s="8" t="s">
        <v>49</v>
      </c>
      <c r="G6" s="8">
        <v>0</v>
      </c>
      <c r="H6" s="7" t="s">
        <v>15</v>
      </c>
      <c r="I6" s="10"/>
      <c r="J6" s="9"/>
    </row>
    <row r="7" spans="1:10" ht="27.75" customHeight="1">
      <c r="A7" s="15">
        <v>3</v>
      </c>
      <c r="B7" s="17" t="s">
        <v>16</v>
      </c>
      <c r="C7" s="17" t="s">
        <v>30</v>
      </c>
      <c r="D7" s="17" t="s">
        <v>51</v>
      </c>
      <c r="E7" s="8">
        <v>4</v>
      </c>
      <c r="F7" s="8" t="s">
        <v>49</v>
      </c>
      <c r="G7" s="8">
        <v>0</v>
      </c>
      <c r="H7" s="7" t="s">
        <v>15</v>
      </c>
      <c r="I7" s="10"/>
      <c r="J7" s="10"/>
    </row>
    <row r="8" spans="1:10" ht="27.75" customHeight="1">
      <c r="A8" s="15">
        <v>4</v>
      </c>
      <c r="B8" s="17" t="s">
        <v>16</v>
      </c>
      <c r="C8" s="17" t="s">
        <v>32</v>
      </c>
      <c r="D8" s="17" t="s">
        <v>41</v>
      </c>
      <c r="E8" s="8">
        <v>1</v>
      </c>
      <c r="F8" s="8" t="s">
        <v>49</v>
      </c>
      <c r="G8" s="8">
        <v>0</v>
      </c>
      <c r="H8" s="7" t="s">
        <v>15</v>
      </c>
      <c r="I8" s="10"/>
      <c r="J8" s="10"/>
    </row>
    <row r="9" spans="1:10" ht="27.75" customHeight="1">
      <c r="A9" s="15">
        <v>5</v>
      </c>
      <c r="B9" s="17" t="s">
        <v>16</v>
      </c>
      <c r="C9" s="17" t="s">
        <v>35</v>
      </c>
      <c r="D9" s="8" t="s">
        <v>49</v>
      </c>
      <c r="E9" s="8">
        <v>4</v>
      </c>
      <c r="F9" s="8" t="s">
        <v>49</v>
      </c>
      <c r="G9" s="8">
        <v>0</v>
      </c>
      <c r="H9" s="7" t="s">
        <v>15</v>
      </c>
      <c r="I9" s="10"/>
      <c r="J9" s="9"/>
    </row>
    <row r="10" spans="1:10" ht="27.75" customHeight="1">
      <c r="A10" s="15">
        <v>6</v>
      </c>
      <c r="B10" s="17" t="s">
        <v>17</v>
      </c>
      <c r="C10" s="17" t="s">
        <v>31</v>
      </c>
      <c r="D10" s="17" t="s">
        <v>40</v>
      </c>
      <c r="E10" s="8">
        <v>1</v>
      </c>
      <c r="F10" s="8" t="s">
        <v>49</v>
      </c>
      <c r="G10" s="8">
        <v>0</v>
      </c>
      <c r="H10" s="7" t="s">
        <v>15</v>
      </c>
      <c r="I10" s="10"/>
      <c r="J10" s="10"/>
    </row>
    <row r="11" spans="1:10" ht="27.75" customHeight="1">
      <c r="A11" s="15">
        <v>7</v>
      </c>
      <c r="B11" s="17" t="s">
        <v>17</v>
      </c>
      <c r="C11" s="17" t="s">
        <v>33</v>
      </c>
      <c r="D11" s="17" t="s">
        <v>52</v>
      </c>
      <c r="E11" s="8" t="s">
        <v>60</v>
      </c>
      <c r="F11" s="8" t="s">
        <v>49</v>
      </c>
      <c r="G11" s="8">
        <v>1</v>
      </c>
      <c r="H11" s="26" t="s">
        <v>57</v>
      </c>
      <c r="I11" s="9"/>
      <c r="J11" s="9" t="s">
        <v>59</v>
      </c>
    </row>
    <row r="12" spans="1:10" ht="27.75" customHeight="1">
      <c r="A12" s="15">
        <v>8</v>
      </c>
      <c r="B12" s="17" t="s">
        <v>17</v>
      </c>
      <c r="C12" s="17" t="s">
        <v>34</v>
      </c>
      <c r="D12" s="17" t="s">
        <v>53</v>
      </c>
      <c r="E12" s="8">
        <v>3</v>
      </c>
      <c r="F12" s="8" t="s">
        <v>49</v>
      </c>
      <c r="G12" s="8">
        <v>0</v>
      </c>
      <c r="H12" s="7" t="s">
        <v>15</v>
      </c>
      <c r="I12" s="10"/>
      <c r="J12" s="10"/>
    </row>
    <row r="13" spans="1:10" ht="27.75" customHeight="1">
      <c r="A13" s="15">
        <v>9</v>
      </c>
      <c r="B13" s="17" t="s">
        <v>17</v>
      </c>
      <c r="C13" s="17" t="s">
        <v>29</v>
      </c>
      <c r="D13" s="17" t="s">
        <v>50</v>
      </c>
      <c r="E13" s="8">
        <v>1</v>
      </c>
      <c r="F13" s="8" t="s">
        <v>49</v>
      </c>
      <c r="G13" s="8">
        <v>0</v>
      </c>
      <c r="H13" s="7" t="s">
        <v>15</v>
      </c>
      <c r="I13" s="10"/>
      <c r="J13" s="10"/>
    </row>
    <row r="14" spans="1:10" ht="27.75" customHeight="1">
      <c r="A14" s="15">
        <v>10</v>
      </c>
      <c r="B14" s="17" t="s">
        <v>17</v>
      </c>
      <c r="C14" s="17" t="s">
        <v>44</v>
      </c>
      <c r="D14" s="17" t="s">
        <v>45</v>
      </c>
      <c r="E14" s="8">
        <v>1</v>
      </c>
      <c r="F14" s="8" t="s">
        <v>49</v>
      </c>
      <c r="G14" s="8">
        <v>0</v>
      </c>
      <c r="H14" s="7" t="s">
        <v>15</v>
      </c>
      <c r="I14" s="10"/>
      <c r="J14" s="10"/>
    </row>
    <row r="15" spans="1:10" ht="27.75" customHeight="1">
      <c r="A15" s="15">
        <v>11</v>
      </c>
      <c r="B15" s="17" t="s">
        <v>17</v>
      </c>
      <c r="C15" s="17" t="s">
        <v>38</v>
      </c>
      <c r="D15" s="17">
        <v>18650</v>
      </c>
      <c r="E15" s="8">
        <v>2</v>
      </c>
      <c r="F15" s="8" t="s">
        <v>49</v>
      </c>
      <c r="G15" s="8">
        <v>0</v>
      </c>
      <c r="H15" s="7" t="s">
        <v>15</v>
      </c>
      <c r="I15" s="10"/>
      <c r="J15" s="10"/>
    </row>
    <row r="16" spans="1:10" ht="27.75" customHeight="1">
      <c r="A16" s="15">
        <v>13</v>
      </c>
      <c r="B16" s="17" t="s">
        <v>17</v>
      </c>
      <c r="C16" s="17" t="s">
        <v>43</v>
      </c>
      <c r="D16" s="17" t="s">
        <v>54</v>
      </c>
      <c r="E16" s="8">
        <v>1</v>
      </c>
      <c r="F16" s="8" t="s">
        <v>49</v>
      </c>
      <c r="G16" s="8">
        <v>0</v>
      </c>
      <c r="H16" s="7" t="s">
        <v>15</v>
      </c>
      <c r="I16" s="9"/>
      <c r="J16" s="9"/>
    </row>
    <row r="17" spans="1:10" ht="27.6" customHeight="1">
      <c r="A17" s="15">
        <v>15</v>
      </c>
      <c r="B17" s="17" t="s">
        <v>18</v>
      </c>
      <c r="C17" s="17" t="s">
        <v>39</v>
      </c>
      <c r="D17" s="8" t="s">
        <v>49</v>
      </c>
      <c r="E17" s="8">
        <v>1</v>
      </c>
      <c r="F17" s="8" t="s">
        <v>49</v>
      </c>
      <c r="G17" s="8">
        <v>0</v>
      </c>
      <c r="H17" s="7" t="s">
        <v>15</v>
      </c>
      <c r="I17" s="9"/>
      <c r="J17" s="10"/>
    </row>
    <row r="18" spans="1:10" ht="27.6" customHeight="1">
      <c r="A18" s="15">
        <v>16</v>
      </c>
      <c r="B18" s="17" t="s">
        <v>18</v>
      </c>
      <c r="C18" s="17" t="s">
        <v>47</v>
      </c>
      <c r="D18" s="17" t="s">
        <v>48</v>
      </c>
      <c r="E18" s="8">
        <v>1</v>
      </c>
      <c r="F18" s="8">
        <v>10</v>
      </c>
      <c r="G18" s="8">
        <v>10</v>
      </c>
      <c r="H18" s="26" t="s">
        <v>57</v>
      </c>
      <c r="I18" s="9"/>
      <c r="J18" s="10"/>
    </row>
    <row r="19" spans="1:10" ht="27.6" customHeight="1">
      <c r="A19" s="15">
        <v>17</v>
      </c>
      <c r="B19" s="17" t="s">
        <v>18</v>
      </c>
      <c r="C19" s="17" t="s">
        <v>37</v>
      </c>
      <c r="D19" s="17" t="s">
        <v>55</v>
      </c>
      <c r="E19" s="8">
        <v>2</v>
      </c>
      <c r="F19" s="8" t="s">
        <v>49</v>
      </c>
      <c r="G19" s="8">
        <v>0</v>
      </c>
      <c r="H19" s="7" t="s">
        <v>15</v>
      </c>
      <c r="I19" s="9"/>
      <c r="J19" s="10"/>
    </row>
    <row r="20" spans="1:10" ht="19.2" customHeight="1">
      <c r="A20" s="19" t="s">
        <v>19</v>
      </c>
      <c r="B20" s="19"/>
      <c r="C20" s="19"/>
      <c r="D20" s="19"/>
      <c r="E20" s="19"/>
      <c r="F20" s="20">
        <f>SUMIF(H5:H19,"自購",G5:G19)</f>
        <v>11</v>
      </c>
      <c r="G20" s="20"/>
      <c r="H20" s="21" t="s">
        <v>20</v>
      </c>
      <c r="I20" s="21"/>
      <c r="J20" s="21"/>
    </row>
    <row r="21" spans="1:10" ht="19.2" customHeight="1">
      <c r="A21" s="19" t="s">
        <v>21</v>
      </c>
      <c r="B21" s="19"/>
      <c r="C21" s="19"/>
      <c r="D21" s="19"/>
      <c r="E21" s="19"/>
      <c r="F21" s="20">
        <v>1500</v>
      </c>
      <c r="G21" s="20"/>
      <c r="H21" s="21"/>
      <c r="I21" s="21"/>
      <c r="J21" s="21"/>
    </row>
    <row r="22" spans="1:10" ht="19.2" customHeight="1">
      <c r="A22" s="19" t="s">
        <v>22</v>
      </c>
      <c r="B22" s="19"/>
      <c r="C22" s="19"/>
      <c r="D22" s="19"/>
      <c r="E22" s="19"/>
      <c r="F22" s="20">
        <f>MAX(0,F20-F21)</f>
        <v>0</v>
      </c>
      <c r="G22" s="20"/>
      <c r="H22" s="22"/>
      <c r="I22" s="23"/>
      <c r="J22" s="23"/>
    </row>
  </sheetData>
  <mergeCells count="11">
    <mergeCell ref="A1:J1"/>
    <mergeCell ref="A2:J2"/>
    <mergeCell ref="A20:E20"/>
    <mergeCell ref="F20:G20"/>
    <mergeCell ref="H20:J20"/>
    <mergeCell ref="A21:E21"/>
    <mergeCell ref="F21:G21"/>
    <mergeCell ref="H21:J21"/>
    <mergeCell ref="A22:E22"/>
    <mergeCell ref="F22:G22"/>
    <mergeCell ref="H22:J2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17AA-BCF8-49B5-92B0-511F4CA1BFEC}">
  <dimension ref="A1"/>
  <sheetViews>
    <sheetView workbookViewId="0"/>
  </sheetViews>
  <sheetFormatPr defaultRowHeight="14.4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李昂衡 LI,ANG-HENG</cp:lastModifiedBy>
  <cp:revision>0</cp:revision>
  <dcterms:created xsi:type="dcterms:W3CDTF">2026-06-01T20:31:57Z</dcterms:created>
  <dcterms:modified xsi:type="dcterms:W3CDTF">2026-06-16T07:35:35Z</dcterms:modified>
  <dc:language>en-US</dc:language>
</cp:coreProperties>
</file>